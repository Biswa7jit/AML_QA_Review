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A_Scoring_Rubric" sheetId="2" state="visible" r:id="rId4"/>
    <sheet name="Case_Summaries" sheetId="3" state="visible" r:id="rId5"/>
    <sheet name="QA_Review" sheetId="4" state="visible" r:id="rId6"/>
    <sheet name="QA_Dashboard" sheetId="5" state="visible" r:id="rId7"/>
  </sheets>
  <definedNames>
    <definedName function="false" hidden="true" localSheetId="2" name="_xlnm._FilterDatabase" vbProcedure="false">Case_Summaries!$A$1:$O$11</definedName>
    <definedName function="false" hidden="true" localSheetId="3" name="_xlnm._FilterDatabase" vbProcedure="false">QA_Review!$A$1:$O$11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<sst xmlns="http://schemas.openxmlformats.org/spreadsheetml/2006/main" count="390" uniqueCount="183">
  <si>
    <t xml:space="preserve">AML Quality Assurance Review (Excel)</t>
  </si>
  <si>
    <t xml:space="preserve">A no-code AML Quality Assurance (QA) review program — 10 fictional analyst case files, each independently scored against an 8-point QA checklist using a critical-error methodology. Built entirely in Excel formulas.</t>
  </si>
  <si>
    <t xml:space="preserve">Why this project: independent testing / quality review of case decisions is one of the pillars of an AML compliance program (the others being policies &amp; procedures, a designated compliance officer, training, and — under the 2021 AML Act — customer due diligence). A QA function doesn't just check whether an analyst closed a case; it checks whether the file, on its own, defensibly supports that closure — the same standard an examiner or auditor would apply. This project applies a QA scoring methodology to AML case review, the same critical-error / zero-tolerance-category approach used in operations and call-center QA programs.</t>
  </si>
  <si>
    <t xml:space="preserve">How to use this workbook:</t>
  </si>
  <si>
    <t xml:space="preserve">  1. 'QA_Scoring_Rubric' — the 8 criteria, which 3 are critical (zero-tolerance) items, and how the overall outcome is derived.</t>
  </si>
  <si>
    <t xml:space="preserve">  2. 'Case_Summaries' — what each analyst actually did: the alert, the investigation, and the disposition reached.</t>
  </si>
  <si>
    <t xml:space="preserve">  3. 'QA_Review' — the actual QA assessment. Each case is scored Pass / Partial / Fail against all 8 criteria, with a QA reviewer comment explaining the reasoning. The score, critical-failure flag, and final outcome are all live formulas.</t>
  </si>
  <si>
    <t xml:space="preserve">  4. 'QA_Dashboard' — rollup metrics: overall pass rate, pass rate by individual criterion (which QA dimension analysts struggle with most), and a per-analyst breakdown.</t>
  </si>
  <si>
    <t xml:space="preserve">The scoring methodology:</t>
  </si>
  <si>
    <t xml:space="preserve">  - Each of the 8 criteria is scored Pass (1) / Partial (0.5) / Fail (0) for every case.</t>
  </si>
  <si>
    <t xml:space="preserve">  - THREE criteria are marked CRITICAL: 'Transaction red flags identified?', 'Escalation required?', and 'Final disposition supported by evidence?'. A Fail on any of these overrides the numeric score entirely and produces 'FAIL - Critical Error' — the same design as a zero-tolerance error category in a call-center QA scorecard. A missed red flag or an unsupported disposition isn't a few-points deduction; it's the kind of finding that gets a case reopened.</t>
  </si>
  <si>
    <t xml:space="preserve">  - Outside of a critical failure, the average score across all 8 criteria determines the outcome: 90%+ is PASS, 75-89% is PASS WITH COACHING, and below 75% is FAIL.</t>
  </si>
  <si>
    <t xml:space="preserve">Key formulas used (all standard Excel, no add-ins, no VBA):</t>
  </si>
  <si>
    <t xml:space="preserve">  - COUNTIF (across a horizontal range) — counting how many of a case's 8 criteria scored Pass vs. Partial, to compute the numeric score.</t>
  </si>
  <si>
    <t xml:space="preserve">  - OR — checking the three critical criteria for a Fail, independent of the numeric score.</t>
  </si>
  <si>
    <t xml:space="preserve">  - Nested IF — translating the critical-failure flag and score into the final plain-English outcome.</t>
  </si>
  <si>
    <t xml:space="preserve">  - COUNTIFS on the Dashboard sheet — pass-rate rollups sliced by criterion and by analyst.</t>
  </si>
  <si>
    <t xml:space="preserve">  - Conditional formatting — green/amber/red/dark-red by outcome severity.</t>
  </si>
  <si>
    <t xml:space="preserve">A note on the sample data: the 10 cases are deliberately weighted toward findings (3 clean passes, 3 pass-with-coaching, 1 fail, 3 critical failures) to showcase the range of things a QA review should catch — a correct escalation with no documented reasoning, a plausible-sounding RFI response nobody cross-checked against KYC, an unnecessary RFI that added friction without changing the outcome, and a clearly missed red flag. This is not meant to represent a real program's typical pass rate.</t>
  </si>
  <si>
    <t xml:space="preserve">criterion_id</t>
  </si>
  <si>
    <t xml:space="preserve">criterion</t>
  </si>
  <si>
    <t xml:space="preserve">critical</t>
  </si>
  <si>
    <t xml:space="preserve">description</t>
  </si>
  <si>
    <t xml:space="preserve">Q1</t>
  </si>
  <si>
    <t xml:space="preserve">KYC information reviewed correctly?</t>
  </si>
  <si>
    <t xml:space="preserve">Standard</t>
  </si>
  <si>
    <t xml:space="preserve">Did the analyst verify KYC/CDD data on file was current, complete, and consistent with the alert?</t>
  </si>
  <si>
    <t xml:space="preserve">Q2</t>
  </si>
  <si>
    <t xml:space="preserve">Customer risk rating appropriate?</t>
  </si>
  <si>
    <t xml:space="preserve">Was the customer's risk rating accurate given current activity, or flagged for re-rating if not?</t>
  </si>
  <si>
    <t xml:space="preserve">Q3</t>
  </si>
  <si>
    <t xml:space="preserve">Transaction red flags identified?</t>
  </si>
  <si>
    <t xml:space="preserve">CRITICAL</t>
  </si>
  <si>
    <t xml:space="preserve">Did the analyst correctly identify all relevant suspicious activity indicators in the alert?</t>
  </si>
  <si>
    <t xml:space="preserve">Q4</t>
  </si>
  <si>
    <t xml:space="preserve">Investigation sufficiently documented?</t>
  </si>
  <si>
    <t xml:space="preserve">Is the analytical rationale, evidence reviewed, and conclusion clearly documented in the case file?</t>
  </si>
  <si>
    <t xml:space="preserve">Q5</t>
  </si>
  <si>
    <t xml:space="preserve">RFI appropriate?</t>
  </si>
  <si>
    <t xml:space="preserve">Where warranted, did the analyst request additional customer information (RFI) — and was that decision justified either way?</t>
  </si>
  <si>
    <t xml:space="preserve">Q6</t>
  </si>
  <si>
    <t xml:space="preserve">Adverse media properly assessed?</t>
  </si>
  <si>
    <t xml:space="preserve">Was negative news screening conducted and any hits properly evaluated and documented?</t>
  </si>
  <si>
    <t xml:space="preserve">Q7</t>
  </si>
  <si>
    <t xml:space="preserve">Escalation required?</t>
  </si>
  <si>
    <t xml:space="preserve">Was the decision to escalate (or not escalate) the case correctly made and executed?</t>
  </si>
  <si>
    <t xml:space="preserve">Q8</t>
  </si>
  <si>
    <t xml:space="preserve">Final disposition supported by evidence?</t>
  </si>
  <si>
    <t xml:space="preserve">Does the documented evidence actually support the analyst's closure/escalation decision?</t>
  </si>
  <si>
    <t xml:space="preserve">OUTCOME LOGIC</t>
  </si>
  <si>
    <t xml:space="preserve">Any CRITICAL criterion scored Fail  -&gt;  FAIL - Critical Error (overrides score)</t>
  </si>
  <si>
    <t xml:space="preserve">No critical fail, average score &gt;= 90%  -&gt;  PASS</t>
  </si>
  <si>
    <t xml:space="preserve">No critical fail, average score 75-89%  -&gt;  PASS WITH COACHING</t>
  </si>
  <si>
    <t xml:space="preserve">No critical fail, average score &lt; 75%  -&gt;  FAIL</t>
  </si>
  <si>
    <t xml:space="preserve">case_id</t>
  </si>
  <si>
    <t xml:space="preserve">analyst_name</t>
  </si>
  <si>
    <t xml:space="preserve">customer_name</t>
  </si>
  <si>
    <t xml:space="preserve">account_id</t>
  </si>
  <si>
    <t xml:space="preserve">alert_type</t>
  </si>
  <si>
    <t xml:space="preserve">alert_date</t>
  </si>
  <si>
    <t xml:space="preserve">case_summary</t>
  </si>
  <si>
    <t xml:space="preserve">kyc_reviewed_by_analyst</t>
  </si>
  <si>
    <t xml:space="preserve">risk_rating_on_file</t>
  </si>
  <si>
    <t xml:space="preserve">red_flags_noted_by_analyst</t>
  </si>
  <si>
    <t xml:space="preserve">rfi_sent</t>
  </si>
  <si>
    <t xml:space="preserve">adverse_media_checked_by_analyst</t>
  </si>
  <si>
    <t xml:space="preserve">escalated_by_analyst</t>
  </si>
  <si>
    <t xml:space="preserve">sar_filed</t>
  </si>
  <si>
    <t xml:space="preserve">final_disposition_by_analyst</t>
  </si>
  <si>
    <t xml:space="preserve">QA-001</t>
  </si>
  <si>
    <t xml:space="preserve">Jordan Ellis</t>
  </si>
  <si>
    <t xml:space="preserve">Rebecca Lin</t>
  </si>
  <si>
    <t xml:space="preserve">AC-10441</t>
  </si>
  <si>
    <t xml:space="preserve">Structuring Alert</t>
  </si>
  <si>
    <t xml:space="preserve">2026-01-14</t>
  </si>
  <si>
    <t xml:space="preserve">Multiple cash deposits flagged near the CTR threshold. Analyst reviewed 6 months of account history, confirmed the pattern matched the customer's documented payroll/freelance income cycle, and compared deposit timing against invoicing records the customer had on file.</t>
  </si>
  <si>
    <t xml:space="preserve">Yes</t>
  </si>
  <si>
    <t xml:space="preserve">Medium</t>
  </si>
  <si>
    <t xml:space="preserve">No</t>
  </si>
  <si>
    <t xml:space="preserve">Cleared - No Further Action</t>
  </si>
  <si>
    <t xml:space="preserve">QA-002</t>
  </si>
  <si>
    <t xml:space="preserve">Morgan Hale</t>
  </si>
  <si>
    <t xml:space="preserve">Nour Haddad</t>
  </si>
  <si>
    <t xml:space="preserve">AC-20117</t>
  </si>
  <si>
    <t xml:space="preserve">Large Wire Alert</t>
  </si>
  <si>
    <t xml:space="preserve">2026-01-20</t>
  </si>
  <si>
    <t xml:space="preserve">Outbound wire to a Medium-risk jurisdiction for a stated real estate purchase. Analyst sent an RFI requesting purchase agreement documentation even though the customer's file already contained a notarized sale contract sufficient to support the wire on its own.</t>
  </si>
  <si>
    <t xml:space="preserve">QA-003</t>
  </si>
  <si>
    <t xml:space="preserve">Taylor Brooks</t>
  </si>
  <si>
    <t xml:space="preserve">Carlos Mendez</t>
  </si>
  <si>
    <t xml:space="preserve">AC-30288</t>
  </si>
  <si>
    <t xml:space="preserve">Onboarding KYC Review</t>
  </si>
  <si>
    <t xml:space="preserve">2026-02-02</t>
  </si>
  <si>
    <t xml:space="preserve">New PEP customer onboarding. Analyst obtained full source-of-wealth documentation, ran adverse media screening, applied the High risk rating per policy, and routed the file for senior sign-off before account activation.</t>
  </si>
  <si>
    <t xml:space="preserve">High</t>
  </si>
  <si>
    <t xml:space="preserve">Approved - Enhanced Due Diligence Applied</t>
  </si>
  <si>
    <t xml:space="preserve">QA-004</t>
  </si>
  <si>
    <t xml:space="preserve">Casey Nguyen</t>
  </si>
  <si>
    <t xml:space="preserve">Everline Trading DMCC</t>
  </si>
  <si>
    <t xml:space="preserve">AC-40556</t>
  </si>
  <si>
    <t xml:space="preserve">Cash-Intensive Business Alert</t>
  </si>
  <si>
    <t xml:space="preserve">2026-02-11</t>
  </si>
  <si>
    <t xml:space="preserve">Cash-intensive business account showing deposit volume above the profile on file. Analyst correctly escalated the case to the senior investigator queue per policy, but the case notes contain only the escalation timestamp with no written rationale for why the deposits exceeded reasonable expectations for the stated business type.</t>
  </si>
  <si>
    <t xml:space="preserve">Escalated - Referred to Senior Investigator</t>
  </si>
  <si>
    <t xml:space="preserve">QA-005</t>
  </si>
  <si>
    <t xml:space="preserve">Anatoly Sokolov</t>
  </si>
  <si>
    <t xml:space="preserve">AC-50902</t>
  </si>
  <si>
    <t xml:space="preserve">2026-02-25</t>
  </si>
  <si>
    <t xml:space="preserve">Repeated cash deposits just under the CTR threshold across three consecutive business days. Analyst documented each deposit, the pattern against the customer's account history, cross-referenced the customer's stated occupation, and filed a SAR with a clear narrative.</t>
  </si>
  <si>
    <t xml:space="preserve">Escalated - SAR Filed</t>
  </si>
  <si>
    <t xml:space="preserve">QA-006</t>
  </si>
  <si>
    <t xml:space="preserve">Riley Chen</t>
  </si>
  <si>
    <t xml:space="preserve">Consolidated Metals JSC</t>
  </si>
  <si>
    <t xml:space="preserve">AC-61174</t>
  </si>
  <si>
    <t xml:space="preserve">KYC Refresh / RFI Response Review</t>
  </si>
  <si>
    <t xml:space="preserve">2026-03-04</t>
  </si>
  <si>
    <t xml:space="preserve">Customer submitted an RFI response with a business activity description and supporting invoices. Analyst accepted the response and closed the review without comparing the stated business activity against the company registration details already on file in the KYC record, which listed a materially different business purpose.</t>
  </si>
  <si>
    <t xml:space="preserve">QA-007</t>
  </si>
  <si>
    <t xml:space="preserve">Silverline Trading FZE</t>
  </si>
  <si>
    <t xml:space="preserve">AC-71330</t>
  </si>
  <si>
    <t xml:space="preserve">Transaction Monitoring Alert</t>
  </si>
  <si>
    <t xml:space="preserve">2026-03-13</t>
  </si>
  <si>
    <t xml:space="preserve">Alert triggered on rapid fund movement. Analyst reviewed the flagged account in isolation and did not review the case tool's link-analysis panel, which showed the same funds moving through two related accounts opened by the same beneficial owner within 48 hours.</t>
  </si>
  <si>
    <t xml:space="preserve">QA-008</t>
  </si>
  <si>
    <t xml:space="preserve">Global Freight Solutions Ltd</t>
  </si>
  <si>
    <t xml:space="preserve">AC-81502</t>
  </si>
  <si>
    <t xml:space="preserve">Periodic EDD Review</t>
  </si>
  <si>
    <t xml:space="preserve">2026-03-11</t>
  </si>
  <si>
    <t xml:space="preserve">Scheduled periodic review of a high-risk trade finance customer. Government ID for one of two listed beneficial owners on file had expired and was not flagged for refresh. Transaction review and escalation decision were otherwise sound, but the file's documentation of the rationale for continuing the relationship was thinner than the policy standard requires.</t>
  </si>
  <si>
    <t xml:space="preserve">Partial</t>
  </si>
  <si>
    <t xml:space="preserve">Approved - Continue Relationship with Enhanced Monitoring</t>
  </si>
  <si>
    <t xml:space="preserve">QA-009</t>
  </si>
  <si>
    <t xml:space="preserve">Northbridge Capital Partners</t>
  </si>
  <si>
    <t xml:space="preserve">AC-91687</t>
  </si>
  <si>
    <t xml:space="preserve">Periodic Review - Adverse Media Hit</t>
  </si>
  <si>
    <t xml:space="preserve">2026-03-19</t>
  </si>
  <si>
    <t xml:space="preserve">Negative news screening returned a hit referencing a regulatory enforcement action tied to an affiliated entity. Case notes state only 'media reviewed, not relevant' with no explanation of what was found, no comparison against the customer's current activity, and no escalation to the MLRO despite policy requiring one for any confirmed regulatory-action hit.</t>
  </si>
  <si>
    <t xml:space="preserve">QA-010</t>
  </si>
  <si>
    <t xml:space="preserve">Amara Diallo</t>
  </si>
  <si>
    <t xml:space="preserve">AC-10229</t>
  </si>
  <si>
    <t xml:space="preserve">2026-03-27</t>
  </si>
  <si>
    <t xml:space="preserve">Alert on an unusual international wire pattern. Case was closed with a brief note referencing the wire but with no documented comparison against the customer's account history, only a partial notation of which typology indicators were considered, and no risk-rating cross-check.</t>
  </si>
  <si>
    <t xml:space="preserve">Q1_kyc_reviewed</t>
  </si>
  <si>
    <t xml:space="preserve">Q2_risk_rating_appropriate</t>
  </si>
  <si>
    <t xml:space="preserve">Q3_red_flags_identified (CRITICAL)</t>
  </si>
  <si>
    <t xml:space="preserve">Q4_investigation_documented</t>
  </si>
  <si>
    <t xml:space="preserve">Q5_rfi_appropriate</t>
  </si>
  <si>
    <t xml:space="preserve">Q6_adverse_media_assessed</t>
  </si>
  <si>
    <t xml:space="preserve">Q7_escalation_required (CRITICAL)</t>
  </si>
  <si>
    <t xml:space="preserve">Q8_disposition_supported (CRITICAL)</t>
  </si>
  <si>
    <t xml:space="preserve">qa_reviewer_comments</t>
  </si>
  <si>
    <t xml:space="preserve">score_pct</t>
  </si>
  <si>
    <t xml:space="preserve">critical_failure</t>
  </si>
  <si>
    <t xml:space="preserve">qa_outcome</t>
  </si>
  <si>
    <t xml:space="preserve">Pass</t>
  </si>
  <si>
    <t xml:space="preserve">Clean file. KYC current, red flags correctly assessed against documented income pattern, no RFI needed and correctly not sent, clearance fully supported by the account history reviewed.</t>
  </si>
  <si>
    <t xml:space="preserve">Disposition itself is sound, but two things drag this down: the RFI added a week of processing delay and customer friction for information the file already contained, and the case notes don't explain why the RFI was sent given the existing documentation. Coaching point: check the file for existing supporting documentation before sending an RFI, and if one is sent anyway, document why.</t>
  </si>
  <si>
    <t xml:space="preserve">Thorough PEP onboarding file. EDD, source-of-wealth documentation, adverse media, and escalation for sign-off are all present and well-documented.</t>
  </si>
  <si>
    <t xml:space="preserve">Fail</t>
  </si>
  <si>
    <t xml:space="preserve">Escalation decision itself was correct and timely, but the file needs a written rationale, not just a timestamp — an examiner reviewing this file six months from now has no way to reconstruct why this was escalated. Coaching point: every escalation needs 2-3 sentences of documented reasoning, even when the outcome is clearly correct.</t>
  </si>
  <si>
    <t xml:space="preserve">Excellent SAR file — clear narrative, well-documented pattern, correctly escalated and filed.</t>
  </si>
  <si>
    <t xml:space="preserve">Critical finding: the RFI response was accepted at face value without cross-referencing the business activity already documented in the KYC record, which describes a materially different business purpose. This is exactly the kind of inconsistency an RFI review exists to catch. Should have been escalated for further review; instead the case was closed. File must be reopened and reviewed by a senior investigator.</t>
  </si>
  <si>
    <t xml:space="preserve">Critical finding: the case tool's own link-analysis panel showed the same funds moving through two related accounts within 48 hours, and this was not reviewed. This is not a subtle miss — the linkage was visible in a standard part of the case tool. File must be reopened; recommend refresher training on the link-analysis feature for this analyst.</t>
  </si>
  <si>
    <t xml:space="preserve">Underlying decision to continue the relationship is well-supported, but two things need tightening: the expired beneficial-owner ID should have been flagged for refresh, and the written rationale for continuing the relationship is lighter than our high-risk EDD standard. Coaching point, not a rework — the analytical conclusion itself is sound.</t>
  </si>
  <si>
    <t xml:space="preserve">Critical finding: a confirmed regulatory-action adverse media hit was dismissed with a one-line note and no documented analysis. Policy requires MLRO escalation for any confirmed regulatory-action hit; this did not happen. Clearing this file is not supportable on the documentation present. Must be reopened and escalated immediately.</t>
  </si>
  <si>
    <t xml:space="preserve">Multiple non-critical gaps compound into a weak file: no documented comparison against account history, typology indicators only partially noted rather than walked through, and no risk-rating cross-check. Scored as a non-critical FAIL rather than a critical failure because the underlying transaction pattern, independently re-reviewed, does not itself appear to meet the threshold for escalation — the disposition reached is probably right, but the file as written doesn't demonstrate that, which is itself the deficiency. Requires rework and refresher coaching on documentation standards.</t>
  </si>
  <si>
    <t xml:space="preserve">QA DASHBOARD — Overall Outcomes</t>
  </si>
  <si>
    <t xml:space="preserve">Outcome</t>
  </si>
  <si>
    <t xml:space="preserve">Case Count</t>
  </si>
  <si>
    <t xml:space="preserve">% of Cases</t>
  </si>
  <si>
    <t xml:space="preserve">PASS</t>
  </si>
  <si>
    <t xml:space="preserve">PASS WITH COACHING</t>
  </si>
  <si>
    <t xml:space="preserve">FAIL</t>
  </si>
  <si>
    <t xml:space="preserve">FAIL - Critical Error</t>
  </si>
  <si>
    <t xml:space="preserve">Pass Rate by Criterion (Pass or Partial credit shown separately)</t>
  </si>
  <si>
    <t xml:space="preserve">Criterion</t>
  </si>
  <si>
    <t xml:space="preserve">% Pass</t>
  </si>
  <si>
    <t xml:space="preserve">% Fail</t>
  </si>
  <si>
    <t xml:space="preserve">Per-Analyst Summary</t>
  </si>
  <si>
    <t xml:space="preserve">Analyst</t>
  </si>
  <si>
    <t xml:space="preserve">Cases Reviewed</t>
  </si>
  <si>
    <t xml:space="preserve">Avg Score</t>
  </si>
  <si>
    <t xml:space="preserve">Critical Failures</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</si>
</sst>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color rgb="FF9C0006"/>
        <sz val="10"/>
      </font>
      <fill>
        <patternFill>
          <bgColor rgb="FFFFC7CE"/>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Arial"/>
        <charset val="1"/>
        <family val="0"/>
        <b val="1"/>
        <color rgb="FFFFFFFF"/>
        <sz val="10"/>
      </font>
      <fill>
        <patternFill>
          <bgColor rgb="FFC00000"/>
        </patternFill>
      </fill>
    </dxf>
    <dxf>
      <font>
        <name val="Arial"/>
        <charset val="1"/>
        <family val="0"/>
        <color rgb="FF9C6500"/>
        <sz val="10"/>
      </font>
      <fill>
        <patternFill>
          <bgColor rgb="FFFFEB9C"/>
        </patternFill>
      </fill>
    </dxf>
    <dxf>
      <font>
        <name val="Arial"/>
        <charset val="1"/>
        <family val="0"/>
        <color rgb="FF006100"/>
        <sz val="1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7.35" hidden="false" customHeight="false" outlineLevel="0" collapsed="false">
      <c r="A1" s="2" t="s">
        <v>0</v>
      </c>
    </row>
    <row r="3" customFormat="false" ht="23.85" hidden="false" customHeight="false" outlineLevel="0" collapsed="false">
      <c r="A3" s="3" t="s">
        <v>1</v>
      </c>
    </row>
    <row r="4" customFormat="false" ht="15" hidden="false" customHeight="false" outlineLevel="0" collapsed="false">
      <c r="A4" s="3"/>
    </row>
    <row r="5" customFormat="false" ht="57.45" hidden="false" customHeight="false" outlineLevel="0" collapsed="false">
      <c r="A5" s="3" t="s">
        <v>2</v>
      </c>
    </row>
    <row r="6" customFormat="false" ht="15" hidden="false" customHeight="false" outlineLevel="0" collapsed="false">
      <c r="A6" s="3"/>
    </row>
    <row r="7" customFormat="false" ht="15" hidden="false" customHeight="false" outlineLevel="0" collapsed="false">
      <c r="A7" s="3" t="s">
        <v>3</v>
      </c>
    </row>
    <row r="8" customFormat="false" ht="15" hidden="false" customHeight="false" outlineLevel="0" collapsed="false">
      <c r="A8" s="3" t="s">
        <v>4</v>
      </c>
    </row>
    <row r="9" customFormat="false" ht="15" hidden="false" customHeight="false" outlineLevel="0" collapsed="false">
      <c r="A9" s="3" t="s">
        <v>5</v>
      </c>
    </row>
    <row r="10" customFormat="false" ht="23.85" hidden="false" customHeight="false" outlineLevel="0" collapsed="false">
      <c r="A10" s="3" t="s">
        <v>6</v>
      </c>
    </row>
    <row r="11" customFormat="false" ht="23.85" hidden="false" customHeight="false" outlineLevel="0" collapsed="false">
      <c r="A11" s="3" t="s">
        <v>7</v>
      </c>
    </row>
    <row r="12" customFormat="false" ht="15" hidden="false" customHeight="false" outlineLevel="0" collapsed="false">
      <c r="A12" s="3"/>
    </row>
    <row r="13" customFormat="false" ht="15" hidden="false" customHeight="false" outlineLevel="0" collapsed="false">
      <c r="A13" s="3" t="s">
        <v>8</v>
      </c>
    </row>
    <row r="14" customFormat="false" ht="15" hidden="false" customHeight="false" outlineLevel="0" collapsed="false">
      <c r="A14" s="3" t="s">
        <v>9</v>
      </c>
    </row>
    <row r="15" customFormat="false" ht="46.25" hidden="false" customHeight="false" outlineLevel="0" collapsed="false">
      <c r="A15" s="3" t="s">
        <v>10</v>
      </c>
    </row>
    <row r="16" customFormat="false" ht="23.85" hidden="false" customHeight="false" outlineLevel="0" collapsed="false">
      <c r="A16" s="3" t="s">
        <v>11</v>
      </c>
    </row>
    <row r="17" customFormat="false" ht="15" hidden="false" customHeight="false" outlineLevel="0" collapsed="false">
      <c r="A17" s="3"/>
    </row>
    <row r="18" customFormat="false" ht="15" hidden="false" customHeight="false" outlineLevel="0" collapsed="false">
      <c r="A18" s="3" t="s">
        <v>12</v>
      </c>
    </row>
    <row r="19" customFormat="false" ht="23.85" hidden="false" customHeight="false" outlineLevel="0" collapsed="false">
      <c r="A19" s="3" t="s">
        <v>13</v>
      </c>
    </row>
    <row r="20" customFormat="false" ht="15" hidden="false" customHeight="false" outlineLevel="0" collapsed="false">
      <c r="A20" s="3" t="s">
        <v>14</v>
      </c>
    </row>
    <row r="21" customFormat="false" ht="15" hidden="false" customHeight="false" outlineLevel="0" collapsed="false">
      <c r="A21" s="3" t="s">
        <v>15</v>
      </c>
    </row>
    <row r="22" customFormat="false" ht="15" hidden="false" customHeight="false" outlineLevel="0" collapsed="false">
      <c r="A22" s="3" t="s">
        <v>16</v>
      </c>
    </row>
    <row r="23" customFormat="false" ht="15" hidden="false" customHeight="false" outlineLevel="0" collapsed="false">
      <c r="A23" s="3" t="s">
        <v>17</v>
      </c>
    </row>
    <row r="24" customFormat="false" ht="15" hidden="false" customHeight="false" outlineLevel="0" collapsed="false">
      <c r="A24" s="3"/>
    </row>
    <row r="25" customFormat="false" ht="46.25" hidden="false" customHeight="false" outlineLevel="0" collapsed="false">
      <c r="A25"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2"/>
    <col collapsed="false" customWidth="true" hidden="false" outlineLevel="0" max="4" min="4" style="1" width="70"/>
  </cols>
  <sheetData>
    <row r="1" customFormat="false" ht="15" hidden="false" customHeight="false" outlineLevel="0" collapsed="false">
      <c r="A1" s="4" t="s">
        <v>19</v>
      </c>
      <c r="B1" s="4" t="s">
        <v>20</v>
      </c>
      <c r="C1" s="4" t="s">
        <v>21</v>
      </c>
      <c r="D1" s="4" t="s">
        <v>22</v>
      </c>
    </row>
    <row r="2" customFormat="false" ht="45" hidden="false" customHeight="true" outlineLevel="0" collapsed="false">
      <c r="A2" s="5" t="s">
        <v>23</v>
      </c>
      <c r="B2" s="5" t="s">
        <v>24</v>
      </c>
      <c r="C2" s="5" t="s">
        <v>25</v>
      </c>
      <c r="D2" s="3" t="s">
        <v>26</v>
      </c>
    </row>
    <row r="3" customFormat="false" ht="45" hidden="false" customHeight="true" outlineLevel="0" collapsed="false">
      <c r="A3" s="5" t="s">
        <v>27</v>
      </c>
      <c r="B3" s="5" t="s">
        <v>28</v>
      </c>
      <c r="C3" s="5" t="s">
        <v>25</v>
      </c>
      <c r="D3" s="3" t="s">
        <v>29</v>
      </c>
    </row>
    <row r="4" customFormat="false" ht="45" hidden="false" customHeight="true" outlineLevel="0" collapsed="false">
      <c r="A4" s="5" t="s">
        <v>30</v>
      </c>
      <c r="B4" s="5" t="s">
        <v>31</v>
      </c>
      <c r="C4" s="6" t="s">
        <v>32</v>
      </c>
      <c r="D4" s="3" t="s">
        <v>33</v>
      </c>
    </row>
    <row r="5" customFormat="false" ht="45" hidden="false" customHeight="true" outlineLevel="0" collapsed="false">
      <c r="A5" s="5" t="s">
        <v>34</v>
      </c>
      <c r="B5" s="5" t="s">
        <v>35</v>
      </c>
      <c r="C5" s="5" t="s">
        <v>25</v>
      </c>
      <c r="D5" s="3" t="s">
        <v>36</v>
      </c>
    </row>
    <row r="6" customFormat="false" ht="45" hidden="false" customHeight="true" outlineLevel="0" collapsed="false">
      <c r="A6" s="5" t="s">
        <v>37</v>
      </c>
      <c r="B6" s="5" t="s">
        <v>38</v>
      </c>
      <c r="C6" s="5" t="s">
        <v>25</v>
      </c>
      <c r="D6" s="3" t="s">
        <v>39</v>
      </c>
    </row>
    <row r="7" customFormat="false" ht="45" hidden="false" customHeight="true" outlineLevel="0" collapsed="false">
      <c r="A7" s="5" t="s">
        <v>40</v>
      </c>
      <c r="B7" s="5" t="s">
        <v>41</v>
      </c>
      <c r="C7" s="5" t="s">
        <v>25</v>
      </c>
      <c r="D7" s="3" t="s">
        <v>42</v>
      </c>
    </row>
    <row r="8" customFormat="false" ht="45" hidden="false" customHeight="true" outlineLevel="0" collapsed="false">
      <c r="A8" s="5" t="s">
        <v>43</v>
      </c>
      <c r="B8" s="5" t="s">
        <v>44</v>
      </c>
      <c r="C8" s="6" t="s">
        <v>32</v>
      </c>
      <c r="D8" s="3" t="s">
        <v>45</v>
      </c>
    </row>
    <row r="9" customFormat="false" ht="45" hidden="false" customHeight="true" outlineLevel="0" collapsed="false">
      <c r="A9" s="5" t="s">
        <v>46</v>
      </c>
      <c r="B9" s="5" t="s">
        <v>47</v>
      </c>
      <c r="C9" s="6" t="s">
        <v>32</v>
      </c>
      <c r="D9" s="3" t="s">
        <v>48</v>
      </c>
    </row>
    <row r="12" customFormat="false" ht="15" hidden="false" customHeight="false" outlineLevel="0" collapsed="false">
      <c r="A12" s="6" t="s">
        <v>49</v>
      </c>
    </row>
    <row r="13" customFormat="false" ht="15" hidden="false" customHeight="false" outlineLevel="0" collapsed="false">
      <c r="A13" s="5" t="s">
        <v>50</v>
      </c>
    </row>
    <row r="14" customFormat="false" ht="15" hidden="false" customHeight="false" outlineLevel="0" collapsed="false">
      <c r="A14" s="5" t="s">
        <v>51</v>
      </c>
    </row>
    <row r="15" customFormat="false" ht="15" hidden="false" customHeight="false" outlineLevel="0" collapsed="false">
      <c r="A15" s="5" t="s">
        <v>52</v>
      </c>
    </row>
    <row r="16" customFormat="false" ht="15" hidden="false" customHeight="false" outlineLevel="0" collapsed="false">
      <c r="A16" s="5" t="s">
        <v>53</v>
      </c>
    </row>
  </sheetData>
  <conditionalFormatting sqref="A2:D9">
    <cfRule type="expression" priority="2" aboveAverage="0" equalAverage="0" bottom="0" percent="0" rank="0" text="" dxfId="0">
      <formula>$C2="CRITICAL"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3" min="3" style="1" width="22"/>
    <col collapsed="false" customWidth="true" hidden="false" outlineLevel="0" max="4" min="4" style="1" width="11"/>
    <col collapsed="false" customWidth="true" hidden="false" outlineLevel="0" max="5" min="5" style="1" width="20"/>
    <col collapsed="false" customWidth="true" hidden="false" outlineLevel="0" max="6" min="6" style="1" width="12"/>
    <col collapsed="false" customWidth="true" hidden="false" outlineLevel="0" max="7" min="7" style="1" width="60"/>
    <col collapsed="false" customWidth="true" hidden="false" outlineLevel="0" max="10" min="8" style="1" width="11"/>
    <col collapsed="false" customWidth="true" hidden="false" outlineLevel="0" max="11" min="11" style="1" width="9"/>
    <col collapsed="false" customWidth="true" hidden="false" outlineLevel="0" max="12" min="12" style="1" width="12"/>
    <col collapsed="false" customWidth="true" hidden="false" outlineLevel="0" max="13" min="13" style="1" width="11"/>
    <col collapsed="false" customWidth="true" hidden="false" outlineLevel="0" max="14" min="14" style="1" width="9"/>
    <col collapsed="false" customWidth="true" hidden="false" outlineLevel="0" max="15" min="15" style="1" width="22"/>
  </cols>
  <sheetData>
    <row r="1" customFormat="false" ht="46.25" hidden="false" customHeight="false" outlineLevel="0" collapsed="false">
      <c r="A1" s="4" t="s">
        <v>54</v>
      </c>
      <c r="B1" s="4" t="s">
        <v>55</v>
      </c>
      <c r="C1" s="4" t="s">
        <v>56</v>
      </c>
      <c r="D1" s="4" t="s">
        <v>57</v>
      </c>
      <c r="E1" s="4" t="s">
        <v>58</v>
      </c>
      <c r="F1" s="4" t="s">
        <v>59</v>
      </c>
      <c r="G1" s="4" t="s">
        <v>60</v>
      </c>
      <c r="H1" s="4" t="s">
        <v>61</v>
      </c>
      <c r="I1" s="4" t="s">
        <v>62</v>
      </c>
      <c r="J1" s="4" t="s">
        <v>63</v>
      </c>
      <c r="K1" s="4" t="s">
        <v>64</v>
      </c>
      <c r="L1" s="4" t="s">
        <v>65</v>
      </c>
      <c r="M1" s="4" t="s">
        <v>66</v>
      </c>
      <c r="N1" s="4" t="s">
        <v>67</v>
      </c>
      <c r="O1" s="4" t="s">
        <v>68</v>
      </c>
    </row>
    <row r="2" customFormat="false" ht="60" hidden="false" customHeight="true" outlineLevel="0" collapsed="false">
      <c r="A2" s="5" t="s">
        <v>69</v>
      </c>
      <c r="B2" s="5" t="s">
        <v>70</v>
      </c>
      <c r="C2" s="5" t="s">
        <v>71</v>
      </c>
      <c r="D2" s="5" t="s">
        <v>72</v>
      </c>
      <c r="E2" s="5" t="s">
        <v>73</v>
      </c>
      <c r="F2" s="5" t="s">
        <v>74</v>
      </c>
      <c r="G2" s="3" t="s">
        <v>75</v>
      </c>
      <c r="H2" s="5" t="s">
        <v>76</v>
      </c>
      <c r="I2" s="5" t="s">
        <v>77</v>
      </c>
      <c r="J2" s="5" t="s">
        <v>76</v>
      </c>
      <c r="K2" s="5" t="s">
        <v>78</v>
      </c>
      <c r="L2" s="5" t="s">
        <v>76</v>
      </c>
      <c r="M2" s="5" t="s">
        <v>78</v>
      </c>
      <c r="N2" s="5" t="s">
        <v>78</v>
      </c>
      <c r="O2" s="5" t="s">
        <v>79</v>
      </c>
    </row>
    <row r="3" customFormat="false" ht="60" hidden="false" customHeight="true" outlineLevel="0" collapsed="false">
      <c r="A3" s="5" t="s">
        <v>80</v>
      </c>
      <c r="B3" s="5" t="s">
        <v>81</v>
      </c>
      <c r="C3" s="5" t="s">
        <v>82</v>
      </c>
      <c r="D3" s="5" t="s">
        <v>83</v>
      </c>
      <c r="E3" s="5" t="s">
        <v>84</v>
      </c>
      <c r="F3" s="5" t="s">
        <v>85</v>
      </c>
      <c r="G3" s="3" t="s">
        <v>86</v>
      </c>
      <c r="H3" s="5" t="s">
        <v>76</v>
      </c>
      <c r="I3" s="5" t="s">
        <v>77</v>
      </c>
      <c r="J3" s="5" t="s">
        <v>76</v>
      </c>
      <c r="K3" s="5" t="s">
        <v>76</v>
      </c>
      <c r="L3" s="5" t="s">
        <v>76</v>
      </c>
      <c r="M3" s="5" t="s">
        <v>78</v>
      </c>
      <c r="N3" s="5" t="s">
        <v>78</v>
      </c>
      <c r="O3" s="5" t="s">
        <v>79</v>
      </c>
    </row>
    <row r="4" customFormat="false" ht="60" hidden="false" customHeight="true" outlineLevel="0" collapsed="false">
      <c r="A4" s="5" t="s">
        <v>87</v>
      </c>
      <c r="B4" s="5" t="s">
        <v>88</v>
      </c>
      <c r="C4" s="5" t="s">
        <v>89</v>
      </c>
      <c r="D4" s="5" t="s">
        <v>90</v>
      </c>
      <c r="E4" s="5" t="s">
        <v>91</v>
      </c>
      <c r="F4" s="5" t="s">
        <v>92</v>
      </c>
      <c r="G4" s="3" t="s">
        <v>93</v>
      </c>
      <c r="H4" s="5" t="s">
        <v>76</v>
      </c>
      <c r="I4" s="5" t="s">
        <v>94</v>
      </c>
      <c r="J4" s="5" t="s">
        <v>76</v>
      </c>
      <c r="K4" s="5" t="s">
        <v>76</v>
      </c>
      <c r="L4" s="5" t="s">
        <v>76</v>
      </c>
      <c r="M4" s="5" t="s">
        <v>76</v>
      </c>
      <c r="N4" s="5" t="s">
        <v>78</v>
      </c>
      <c r="O4" s="5" t="s">
        <v>95</v>
      </c>
    </row>
    <row r="5" customFormat="false" ht="60" hidden="false" customHeight="true" outlineLevel="0" collapsed="false">
      <c r="A5" s="5" t="s">
        <v>96</v>
      </c>
      <c r="B5" s="5" t="s">
        <v>97</v>
      </c>
      <c r="C5" s="5" t="s">
        <v>98</v>
      </c>
      <c r="D5" s="5" t="s">
        <v>99</v>
      </c>
      <c r="E5" s="5" t="s">
        <v>100</v>
      </c>
      <c r="F5" s="5" t="s">
        <v>101</v>
      </c>
      <c r="G5" s="3" t="s">
        <v>102</v>
      </c>
      <c r="H5" s="5" t="s">
        <v>76</v>
      </c>
      <c r="I5" s="5" t="s">
        <v>94</v>
      </c>
      <c r="J5" s="5" t="s">
        <v>76</v>
      </c>
      <c r="K5" s="5" t="s">
        <v>78</v>
      </c>
      <c r="L5" s="5" t="s">
        <v>76</v>
      </c>
      <c r="M5" s="5" t="s">
        <v>76</v>
      </c>
      <c r="N5" s="5" t="s">
        <v>78</v>
      </c>
      <c r="O5" s="5" t="s">
        <v>103</v>
      </c>
    </row>
    <row r="6" customFormat="false" ht="60" hidden="false" customHeight="true" outlineLevel="0" collapsed="false">
      <c r="A6" s="5" t="s">
        <v>104</v>
      </c>
      <c r="B6" s="5" t="s">
        <v>81</v>
      </c>
      <c r="C6" s="5" t="s">
        <v>105</v>
      </c>
      <c r="D6" s="5" t="s">
        <v>106</v>
      </c>
      <c r="E6" s="5" t="s">
        <v>73</v>
      </c>
      <c r="F6" s="5" t="s">
        <v>107</v>
      </c>
      <c r="G6" s="3" t="s">
        <v>108</v>
      </c>
      <c r="H6" s="5" t="s">
        <v>76</v>
      </c>
      <c r="I6" s="5" t="s">
        <v>77</v>
      </c>
      <c r="J6" s="5" t="s">
        <v>76</v>
      </c>
      <c r="K6" s="5" t="s">
        <v>78</v>
      </c>
      <c r="L6" s="5" t="s">
        <v>76</v>
      </c>
      <c r="M6" s="5" t="s">
        <v>76</v>
      </c>
      <c r="N6" s="5" t="s">
        <v>76</v>
      </c>
      <c r="O6" s="5" t="s">
        <v>109</v>
      </c>
    </row>
    <row r="7" customFormat="false" ht="60" hidden="false" customHeight="true" outlineLevel="0" collapsed="false">
      <c r="A7" s="5" t="s">
        <v>110</v>
      </c>
      <c r="B7" s="5" t="s">
        <v>111</v>
      </c>
      <c r="C7" s="5" t="s">
        <v>112</v>
      </c>
      <c r="D7" s="5" t="s">
        <v>113</v>
      </c>
      <c r="E7" s="5" t="s">
        <v>114</v>
      </c>
      <c r="F7" s="5" t="s">
        <v>115</v>
      </c>
      <c r="G7" s="3" t="s">
        <v>116</v>
      </c>
      <c r="H7" s="5" t="s">
        <v>78</v>
      </c>
      <c r="I7" s="5" t="s">
        <v>77</v>
      </c>
      <c r="J7" s="5" t="s">
        <v>76</v>
      </c>
      <c r="K7" s="5" t="s">
        <v>76</v>
      </c>
      <c r="L7" s="5" t="s">
        <v>78</v>
      </c>
      <c r="M7" s="5" t="s">
        <v>78</v>
      </c>
      <c r="N7" s="5" t="s">
        <v>78</v>
      </c>
      <c r="O7" s="5" t="s">
        <v>79</v>
      </c>
    </row>
    <row r="8" customFormat="false" ht="60" hidden="false" customHeight="true" outlineLevel="0" collapsed="false">
      <c r="A8" s="5" t="s">
        <v>117</v>
      </c>
      <c r="B8" s="5" t="s">
        <v>97</v>
      </c>
      <c r="C8" s="5" t="s">
        <v>118</v>
      </c>
      <c r="D8" s="5" t="s">
        <v>119</v>
      </c>
      <c r="E8" s="5" t="s">
        <v>120</v>
      </c>
      <c r="F8" s="5" t="s">
        <v>121</v>
      </c>
      <c r="G8" s="3" t="s">
        <v>122</v>
      </c>
      <c r="H8" s="5" t="s">
        <v>76</v>
      </c>
      <c r="I8" s="5" t="s">
        <v>94</v>
      </c>
      <c r="J8" s="5" t="s">
        <v>78</v>
      </c>
      <c r="K8" s="5" t="s">
        <v>78</v>
      </c>
      <c r="L8" s="5" t="s">
        <v>76</v>
      </c>
      <c r="M8" s="5" t="s">
        <v>78</v>
      </c>
      <c r="N8" s="5" t="s">
        <v>78</v>
      </c>
      <c r="O8" s="5" t="s">
        <v>79</v>
      </c>
    </row>
    <row r="9" customFormat="false" ht="60" hidden="false" customHeight="true" outlineLevel="0" collapsed="false">
      <c r="A9" s="5" t="s">
        <v>123</v>
      </c>
      <c r="B9" s="5" t="s">
        <v>111</v>
      </c>
      <c r="C9" s="5" t="s">
        <v>124</v>
      </c>
      <c r="D9" s="5" t="s">
        <v>125</v>
      </c>
      <c r="E9" s="5" t="s">
        <v>126</v>
      </c>
      <c r="F9" s="5" t="s">
        <v>127</v>
      </c>
      <c r="G9" s="3" t="s">
        <v>128</v>
      </c>
      <c r="H9" s="5" t="s">
        <v>129</v>
      </c>
      <c r="I9" s="5" t="s">
        <v>94</v>
      </c>
      <c r="J9" s="5" t="s">
        <v>76</v>
      </c>
      <c r="K9" s="5" t="s">
        <v>78</v>
      </c>
      <c r="L9" s="5" t="s">
        <v>76</v>
      </c>
      <c r="M9" s="5" t="s">
        <v>76</v>
      </c>
      <c r="N9" s="5" t="s">
        <v>78</v>
      </c>
      <c r="O9" s="5" t="s">
        <v>130</v>
      </c>
    </row>
    <row r="10" customFormat="false" ht="60" hidden="false" customHeight="true" outlineLevel="0" collapsed="false">
      <c r="A10" s="5" t="s">
        <v>131</v>
      </c>
      <c r="B10" s="5" t="s">
        <v>88</v>
      </c>
      <c r="C10" s="5" t="s">
        <v>132</v>
      </c>
      <c r="D10" s="5" t="s">
        <v>133</v>
      </c>
      <c r="E10" s="5" t="s">
        <v>134</v>
      </c>
      <c r="F10" s="5" t="s">
        <v>135</v>
      </c>
      <c r="G10" s="3" t="s">
        <v>136</v>
      </c>
      <c r="H10" s="5" t="s">
        <v>76</v>
      </c>
      <c r="I10" s="5" t="s">
        <v>94</v>
      </c>
      <c r="J10" s="5" t="s">
        <v>76</v>
      </c>
      <c r="K10" s="5" t="s">
        <v>78</v>
      </c>
      <c r="L10" s="5" t="s">
        <v>78</v>
      </c>
      <c r="M10" s="5" t="s">
        <v>78</v>
      </c>
      <c r="N10" s="5" t="s">
        <v>78</v>
      </c>
      <c r="O10" s="5" t="s">
        <v>79</v>
      </c>
    </row>
    <row r="11" customFormat="false" ht="60" hidden="false" customHeight="true" outlineLevel="0" collapsed="false">
      <c r="A11" s="5" t="s">
        <v>137</v>
      </c>
      <c r="B11" s="5" t="s">
        <v>70</v>
      </c>
      <c r="C11" s="5" t="s">
        <v>138</v>
      </c>
      <c r="D11" s="5" t="s">
        <v>139</v>
      </c>
      <c r="E11" s="5" t="s">
        <v>120</v>
      </c>
      <c r="F11" s="5" t="s">
        <v>140</v>
      </c>
      <c r="G11" s="3" t="s">
        <v>141</v>
      </c>
      <c r="H11" s="5" t="s">
        <v>78</v>
      </c>
      <c r="I11" s="5" t="s">
        <v>77</v>
      </c>
      <c r="J11" s="5" t="s">
        <v>129</v>
      </c>
      <c r="K11" s="5" t="s">
        <v>78</v>
      </c>
      <c r="L11" s="5" t="s">
        <v>78</v>
      </c>
      <c r="M11" s="5" t="s">
        <v>78</v>
      </c>
      <c r="N11" s="5" t="s">
        <v>78</v>
      </c>
      <c r="O11" s="5" t="s">
        <v>79</v>
      </c>
    </row>
  </sheetData>
  <autoFilter ref="A1:O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13"/>
    <col collapsed="false" customWidth="true" hidden="false" outlineLevel="0" max="5" min="4" style="1" width="11"/>
    <col collapsed="false" customWidth="true" hidden="false" outlineLevel="0" max="6" min="6" style="1" width="14"/>
    <col collapsed="false" customWidth="true" hidden="false" outlineLevel="0" max="9" min="7" style="1" width="11"/>
    <col collapsed="false" customWidth="true" hidden="false" outlineLevel="0" max="11" min="10" style="1" width="14"/>
    <col collapsed="false" customWidth="true" hidden="false" outlineLevel="0" max="12" min="12" style="1" width="55"/>
    <col collapsed="false" customWidth="true" hidden="false" outlineLevel="0" max="13" min="13" style="1" width="10"/>
    <col collapsed="false" customWidth="true" hidden="false" outlineLevel="0" max="14" min="14" style="1" width="11"/>
    <col collapsed="false" customWidth="true" hidden="false" outlineLevel="0" max="15" min="15" style="1" width="20"/>
  </cols>
  <sheetData>
    <row r="1" customFormat="false" ht="46.25" hidden="false" customHeight="false" outlineLevel="0" collapsed="false">
      <c r="A1" s="4" t="s">
        <v>54</v>
      </c>
      <c r="B1" s="4" t="s">
        <v>56</v>
      </c>
      <c r="C1" s="4" t="s">
        <v>55</v>
      </c>
      <c r="D1" s="4" t="s">
        <v>142</v>
      </c>
      <c r="E1" s="4" t="s">
        <v>143</v>
      </c>
      <c r="F1" s="4" t="s">
        <v>144</v>
      </c>
      <c r="G1" s="4" t="s">
        <v>145</v>
      </c>
      <c r="H1" s="4" t="s">
        <v>146</v>
      </c>
      <c r="I1" s="4" t="s">
        <v>147</v>
      </c>
      <c r="J1" s="4" t="s">
        <v>148</v>
      </c>
      <c r="K1" s="4" t="s">
        <v>149</v>
      </c>
      <c r="L1" s="4" t="s">
        <v>150</v>
      </c>
      <c r="M1" s="4" t="s">
        <v>151</v>
      </c>
      <c r="N1" s="4" t="s">
        <v>152</v>
      </c>
      <c r="O1" s="4" t="s">
        <v>153</v>
      </c>
    </row>
    <row r="2" customFormat="false" ht="54.75" hidden="false" customHeight="true" outlineLevel="0" collapsed="false">
      <c r="A2" s="5" t="s">
        <v>69</v>
      </c>
      <c r="B2" s="5" t="s">
        <v>71</v>
      </c>
      <c r="C2" s="5" t="s">
        <v>70</v>
      </c>
      <c r="D2" s="5" t="s">
        <v>154</v>
      </c>
      <c r="E2" s="5" t="s">
        <v>154</v>
      </c>
      <c r="F2" s="5" t="s">
        <v>154</v>
      </c>
      <c r="G2" s="5" t="s">
        <v>154</v>
      </c>
      <c r="H2" s="5" t="s">
        <v>154</v>
      </c>
      <c r="I2" s="5" t="s">
        <v>154</v>
      </c>
      <c r="J2" s="5" t="s">
        <v>154</v>
      </c>
      <c r="K2" s="5" t="s">
        <v>154</v>
      </c>
      <c r="L2" s="3" t="s">
        <v>155</v>
      </c>
      <c r="M2" s="7" t="n">
        <f aca="false">(COUNTIF(D2:K2,"Pass")*1+COUNTIF(D2:K2,"Partial")*0.5)/8</f>
        <v>1</v>
      </c>
      <c r="N2" s="5" t="str">
        <f aca="false">IF(OR(F2="Fail",J2="Fail",K2="Fail"),"YES","NO")</f>
        <v>NO</v>
      </c>
      <c r="O2" s="5" t="str">
        <f aca="false">IF(N2="YES","FAIL - Critical Error",IF(M2&gt;=0.9,"PASS",IF(M2&gt;=0.75,"PASS WITH COACHING","FAIL")))</f>
        <v>PASS</v>
      </c>
    </row>
    <row r="3" customFormat="false" ht="54.75" hidden="false" customHeight="true" outlineLevel="0" collapsed="false">
      <c r="A3" s="5" t="s">
        <v>80</v>
      </c>
      <c r="B3" s="5" t="s">
        <v>82</v>
      </c>
      <c r="C3" s="5" t="s">
        <v>81</v>
      </c>
      <c r="D3" s="5" t="s">
        <v>154</v>
      </c>
      <c r="E3" s="5" t="s">
        <v>154</v>
      </c>
      <c r="F3" s="5" t="s">
        <v>154</v>
      </c>
      <c r="G3" s="5" t="s">
        <v>129</v>
      </c>
      <c r="H3" s="5" t="s">
        <v>129</v>
      </c>
      <c r="I3" s="5" t="s">
        <v>154</v>
      </c>
      <c r="J3" s="5" t="s">
        <v>154</v>
      </c>
      <c r="K3" s="5" t="s">
        <v>154</v>
      </c>
      <c r="L3" s="3" t="s">
        <v>156</v>
      </c>
      <c r="M3" s="7" t="n">
        <f aca="false">(COUNTIF(D3:K3,"Pass")*1+COUNTIF(D3:K3,"Partial")*0.5)/8</f>
        <v>0.875</v>
      </c>
      <c r="N3" s="5" t="str">
        <f aca="false">IF(OR(F3="Fail",J3="Fail",K3="Fail"),"YES","NO")</f>
        <v>NO</v>
      </c>
      <c r="O3" s="5" t="str">
        <f aca="false">IF(N3="YES","FAIL - Critical Error",IF(M3&gt;=0.9,"PASS",IF(M3&gt;=0.75,"PASS WITH COACHING","FAIL")))</f>
        <v>PASS WITH COACHING</v>
      </c>
    </row>
    <row r="4" customFormat="false" ht="54.75" hidden="false" customHeight="true" outlineLevel="0" collapsed="false">
      <c r="A4" s="5" t="s">
        <v>87</v>
      </c>
      <c r="B4" s="5" t="s">
        <v>89</v>
      </c>
      <c r="C4" s="5" t="s">
        <v>88</v>
      </c>
      <c r="D4" s="5" t="s">
        <v>154</v>
      </c>
      <c r="E4" s="5" t="s">
        <v>154</v>
      </c>
      <c r="F4" s="5" t="s">
        <v>154</v>
      </c>
      <c r="G4" s="5" t="s">
        <v>154</v>
      </c>
      <c r="H4" s="5" t="s">
        <v>154</v>
      </c>
      <c r="I4" s="5" t="s">
        <v>154</v>
      </c>
      <c r="J4" s="5" t="s">
        <v>154</v>
      </c>
      <c r="K4" s="5" t="s">
        <v>154</v>
      </c>
      <c r="L4" s="3" t="s">
        <v>157</v>
      </c>
      <c r="M4" s="7" t="n">
        <f aca="false">(COUNTIF(D4:K4,"Pass")*1+COUNTIF(D4:K4,"Partial")*0.5)/8</f>
        <v>1</v>
      </c>
      <c r="N4" s="5" t="str">
        <f aca="false">IF(OR(F4="Fail",J4="Fail",K4="Fail"),"YES","NO")</f>
        <v>NO</v>
      </c>
      <c r="O4" s="5" t="str">
        <f aca="false">IF(N4="YES","FAIL - Critical Error",IF(M4&gt;=0.9,"PASS",IF(M4&gt;=0.75,"PASS WITH COACHING","FAIL")))</f>
        <v>PASS</v>
      </c>
    </row>
    <row r="5" customFormat="false" ht="54.75" hidden="false" customHeight="true" outlineLevel="0" collapsed="false">
      <c r="A5" s="5" t="s">
        <v>96</v>
      </c>
      <c r="B5" s="5" t="s">
        <v>98</v>
      </c>
      <c r="C5" s="5" t="s">
        <v>97</v>
      </c>
      <c r="D5" s="5" t="s">
        <v>154</v>
      </c>
      <c r="E5" s="5" t="s">
        <v>154</v>
      </c>
      <c r="F5" s="5" t="s">
        <v>154</v>
      </c>
      <c r="G5" s="5" t="s">
        <v>158</v>
      </c>
      <c r="H5" s="5" t="s">
        <v>154</v>
      </c>
      <c r="I5" s="5" t="s">
        <v>154</v>
      </c>
      <c r="J5" s="5" t="s">
        <v>154</v>
      </c>
      <c r="K5" s="5" t="s">
        <v>154</v>
      </c>
      <c r="L5" s="3" t="s">
        <v>159</v>
      </c>
      <c r="M5" s="7" t="n">
        <f aca="false">(COUNTIF(D5:K5,"Pass")*1+COUNTIF(D5:K5,"Partial")*0.5)/8</f>
        <v>0.875</v>
      </c>
      <c r="N5" s="5" t="str">
        <f aca="false">IF(OR(F5="Fail",J5="Fail",K5="Fail"),"YES","NO")</f>
        <v>NO</v>
      </c>
      <c r="O5" s="5" t="str">
        <f aca="false">IF(N5="YES","FAIL - Critical Error",IF(M5&gt;=0.9,"PASS",IF(M5&gt;=0.75,"PASS WITH COACHING","FAIL")))</f>
        <v>PASS WITH COACHING</v>
      </c>
    </row>
    <row r="6" customFormat="false" ht="54.75" hidden="false" customHeight="true" outlineLevel="0" collapsed="false">
      <c r="A6" s="5" t="s">
        <v>104</v>
      </c>
      <c r="B6" s="5" t="s">
        <v>105</v>
      </c>
      <c r="C6" s="5" t="s">
        <v>81</v>
      </c>
      <c r="D6" s="5" t="s">
        <v>154</v>
      </c>
      <c r="E6" s="5" t="s">
        <v>154</v>
      </c>
      <c r="F6" s="5" t="s">
        <v>154</v>
      </c>
      <c r="G6" s="5" t="s">
        <v>154</v>
      </c>
      <c r="H6" s="5" t="s">
        <v>154</v>
      </c>
      <c r="I6" s="5" t="s">
        <v>154</v>
      </c>
      <c r="J6" s="5" t="s">
        <v>154</v>
      </c>
      <c r="K6" s="5" t="s">
        <v>154</v>
      </c>
      <c r="L6" s="3" t="s">
        <v>160</v>
      </c>
      <c r="M6" s="7" t="n">
        <f aca="false">(COUNTIF(D6:K6,"Pass")*1+COUNTIF(D6:K6,"Partial")*0.5)/8</f>
        <v>1</v>
      </c>
      <c r="N6" s="5" t="str">
        <f aca="false">IF(OR(F6="Fail",J6="Fail",K6="Fail"),"YES","NO")</f>
        <v>NO</v>
      </c>
      <c r="O6" s="5" t="str">
        <f aca="false">IF(N6="YES","FAIL - Critical Error",IF(M6&gt;=0.9,"PASS",IF(M6&gt;=0.75,"PASS WITH COACHING","FAIL")))</f>
        <v>PASS</v>
      </c>
    </row>
    <row r="7" customFormat="false" ht="54.75" hidden="false" customHeight="true" outlineLevel="0" collapsed="false">
      <c r="A7" s="5" t="s">
        <v>110</v>
      </c>
      <c r="B7" s="5" t="s">
        <v>112</v>
      </c>
      <c r="C7" s="5" t="s">
        <v>111</v>
      </c>
      <c r="D7" s="5" t="s">
        <v>158</v>
      </c>
      <c r="E7" s="5" t="s">
        <v>154</v>
      </c>
      <c r="F7" s="5" t="s">
        <v>154</v>
      </c>
      <c r="G7" s="5" t="s">
        <v>129</v>
      </c>
      <c r="H7" s="5" t="s">
        <v>154</v>
      </c>
      <c r="I7" s="5" t="s">
        <v>158</v>
      </c>
      <c r="J7" s="5" t="s">
        <v>158</v>
      </c>
      <c r="K7" s="5" t="s">
        <v>158</v>
      </c>
      <c r="L7" s="3" t="s">
        <v>161</v>
      </c>
      <c r="M7" s="7" t="n">
        <f aca="false">(COUNTIF(D7:K7,"Pass")*1+COUNTIF(D7:K7,"Partial")*0.5)/8</f>
        <v>0.4375</v>
      </c>
      <c r="N7" s="5" t="str">
        <f aca="false">IF(OR(F7="Fail",J7="Fail",K7="Fail"),"YES","NO")</f>
        <v>YES</v>
      </c>
      <c r="O7" s="5" t="str">
        <f aca="false">IF(N7="YES","FAIL - Critical Error",IF(M7&gt;=0.9,"PASS",IF(M7&gt;=0.75,"PASS WITH COACHING","FAIL")))</f>
        <v>FAIL - Critical Error</v>
      </c>
    </row>
    <row r="8" customFormat="false" ht="54.75" hidden="false" customHeight="true" outlineLevel="0" collapsed="false">
      <c r="A8" s="5" t="s">
        <v>117</v>
      </c>
      <c r="B8" s="5" t="s">
        <v>118</v>
      </c>
      <c r="C8" s="5" t="s">
        <v>97</v>
      </c>
      <c r="D8" s="5" t="s">
        <v>154</v>
      </c>
      <c r="E8" s="5" t="s">
        <v>154</v>
      </c>
      <c r="F8" s="5" t="s">
        <v>158</v>
      </c>
      <c r="G8" s="5" t="s">
        <v>129</v>
      </c>
      <c r="H8" s="5" t="s">
        <v>154</v>
      </c>
      <c r="I8" s="5" t="s">
        <v>154</v>
      </c>
      <c r="J8" s="5" t="s">
        <v>158</v>
      </c>
      <c r="K8" s="5" t="s">
        <v>158</v>
      </c>
      <c r="L8" s="3" t="s">
        <v>162</v>
      </c>
      <c r="M8" s="7" t="n">
        <f aca="false">(COUNTIF(D8:K8,"Pass")*1+COUNTIF(D8:K8,"Partial")*0.5)/8</f>
        <v>0.5625</v>
      </c>
      <c r="N8" s="5" t="str">
        <f aca="false">IF(OR(F8="Fail",J8="Fail",K8="Fail"),"YES","NO")</f>
        <v>YES</v>
      </c>
      <c r="O8" s="5" t="str">
        <f aca="false">IF(N8="YES","FAIL - Critical Error",IF(M8&gt;=0.9,"PASS",IF(M8&gt;=0.75,"PASS WITH COACHING","FAIL")))</f>
        <v>FAIL - Critical Error</v>
      </c>
    </row>
    <row r="9" customFormat="false" ht="54.75" hidden="false" customHeight="true" outlineLevel="0" collapsed="false">
      <c r="A9" s="5" t="s">
        <v>123</v>
      </c>
      <c r="B9" s="5" t="s">
        <v>124</v>
      </c>
      <c r="C9" s="5" t="s">
        <v>111</v>
      </c>
      <c r="D9" s="5" t="s">
        <v>129</v>
      </c>
      <c r="E9" s="5" t="s">
        <v>154</v>
      </c>
      <c r="F9" s="5" t="s">
        <v>154</v>
      </c>
      <c r="G9" s="5" t="s">
        <v>129</v>
      </c>
      <c r="H9" s="5" t="s">
        <v>154</v>
      </c>
      <c r="I9" s="5" t="s">
        <v>154</v>
      </c>
      <c r="J9" s="5" t="s">
        <v>154</v>
      </c>
      <c r="K9" s="5" t="s">
        <v>154</v>
      </c>
      <c r="L9" s="3" t="s">
        <v>163</v>
      </c>
      <c r="M9" s="7" t="n">
        <f aca="false">(COUNTIF(D9:K9,"Pass")*1+COUNTIF(D9:K9,"Partial")*0.5)/8</f>
        <v>0.875</v>
      </c>
      <c r="N9" s="5" t="str">
        <f aca="false">IF(OR(F9="Fail",J9="Fail",K9="Fail"),"YES","NO")</f>
        <v>NO</v>
      </c>
      <c r="O9" s="5" t="str">
        <f aca="false">IF(N9="YES","FAIL - Critical Error",IF(M9&gt;=0.9,"PASS",IF(M9&gt;=0.75,"PASS WITH COACHING","FAIL")))</f>
        <v>PASS WITH COACHING</v>
      </c>
    </row>
    <row r="10" customFormat="false" ht="54.75" hidden="false" customHeight="true" outlineLevel="0" collapsed="false">
      <c r="A10" s="5" t="s">
        <v>131</v>
      </c>
      <c r="B10" s="5" t="s">
        <v>132</v>
      </c>
      <c r="C10" s="5" t="s">
        <v>88</v>
      </c>
      <c r="D10" s="5" t="s">
        <v>154</v>
      </c>
      <c r="E10" s="5" t="s">
        <v>154</v>
      </c>
      <c r="F10" s="5" t="s">
        <v>154</v>
      </c>
      <c r="G10" s="5" t="s">
        <v>158</v>
      </c>
      <c r="H10" s="5" t="s">
        <v>158</v>
      </c>
      <c r="I10" s="5" t="s">
        <v>158</v>
      </c>
      <c r="J10" s="5" t="s">
        <v>158</v>
      </c>
      <c r="K10" s="5" t="s">
        <v>158</v>
      </c>
      <c r="L10" s="3" t="s">
        <v>164</v>
      </c>
      <c r="M10" s="7" t="n">
        <f aca="false">(COUNTIF(D10:K10,"Pass")*1+COUNTIF(D10:K10,"Partial")*0.5)/8</f>
        <v>0.375</v>
      </c>
      <c r="N10" s="5" t="str">
        <f aca="false">IF(OR(F10="Fail",J10="Fail",K10="Fail"),"YES","NO")</f>
        <v>YES</v>
      </c>
      <c r="O10" s="5" t="str">
        <f aca="false">IF(N10="YES","FAIL - Critical Error",IF(M10&gt;=0.9,"PASS",IF(M10&gt;=0.75,"PASS WITH COACHING","FAIL")))</f>
        <v>FAIL - Critical Error</v>
      </c>
    </row>
    <row r="11" customFormat="false" ht="54.75" hidden="false" customHeight="true" outlineLevel="0" collapsed="false">
      <c r="A11" s="5" t="s">
        <v>137</v>
      </c>
      <c r="B11" s="5" t="s">
        <v>138</v>
      </c>
      <c r="C11" s="5" t="s">
        <v>70</v>
      </c>
      <c r="D11" s="5" t="s">
        <v>158</v>
      </c>
      <c r="E11" s="5" t="s">
        <v>129</v>
      </c>
      <c r="F11" s="5" t="s">
        <v>129</v>
      </c>
      <c r="G11" s="5" t="s">
        <v>158</v>
      </c>
      <c r="H11" s="5" t="s">
        <v>158</v>
      </c>
      <c r="I11" s="5" t="s">
        <v>154</v>
      </c>
      <c r="J11" s="5" t="s">
        <v>154</v>
      </c>
      <c r="K11" s="5" t="s">
        <v>129</v>
      </c>
      <c r="L11" s="3" t="s">
        <v>165</v>
      </c>
      <c r="M11" s="7" t="n">
        <f aca="false">(COUNTIF(D11:K11,"Pass")*1+COUNTIF(D11:K11,"Partial")*0.5)/8</f>
        <v>0.4375</v>
      </c>
      <c r="N11" s="5" t="str">
        <f aca="false">IF(OR(F11="Fail",J11="Fail",K11="Fail"),"YES","NO")</f>
        <v>NO</v>
      </c>
      <c r="O11" s="5" t="str">
        <f aca="false">IF(N11="YES","FAIL - Critical Error",IF(M11&gt;=0.9,"PASS",IF(M11&gt;=0.75,"PASS WITH COACHING","FAIL")))</f>
        <v>FAIL</v>
      </c>
    </row>
  </sheetData>
  <autoFilter ref="A1:O11"/>
  <conditionalFormatting sqref="A2:O11">
    <cfRule type="expression" priority="2" aboveAverage="0" equalAverage="0" bottom="0" percent="0" rank="0" text="" dxfId="11">
      <formula>$O2="FAIL - Critical Error"</formula>
    </cfRule>
    <cfRule type="expression" priority="3" aboveAverage="0" equalAverage="0" bottom="0" percent="0" rank="0" text="" dxfId="0">
      <formula>$O2="FAIL"</formula>
    </cfRule>
    <cfRule type="expression" priority="4" aboveAverage="0" equalAverage="0" bottom="0" percent="0" rank="0" text="" dxfId="12">
      <formula>$O2="PASS WITH COACHING"</formula>
    </cfRule>
    <cfRule type="expression" priority="5" aboveAverage="0" equalAverage="0" bottom="0" percent="0" rank="0" text="" dxfId="13">
      <formula>$O2="PASS"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14"/>
    <col collapsed="false" customWidth="true" hidden="false" outlineLevel="0" max="4" min="4" style="1" width="16"/>
  </cols>
  <sheetData>
    <row r="1" customFormat="false" ht="17.35" hidden="false" customHeight="false" outlineLevel="0" collapsed="false">
      <c r="A1" s="2" t="s">
        <v>166</v>
      </c>
    </row>
    <row r="3" customFormat="false" ht="15" hidden="false" customHeight="false" outlineLevel="0" collapsed="false">
      <c r="A3" s="8" t="s">
        <v>167</v>
      </c>
      <c r="B3" s="8" t="s">
        <v>168</v>
      </c>
      <c r="C3" s="8" t="s">
        <v>169</v>
      </c>
    </row>
    <row r="4" customFormat="false" ht="15" hidden="false" customHeight="false" outlineLevel="0" collapsed="false">
      <c r="A4" s="5" t="s">
        <v>170</v>
      </c>
      <c r="B4" s="5" t="n">
        <f aca="false">COUNTIF(QA_Review!$O$2:$O$11,"PASS")</f>
        <v>3</v>
      </c>
      <c r="C4" s="7" t="n">
        <f aca="false">B4/10</f>
        <v>0.3</v>
      </c>
    </row>
    <row r="5" customFormat="false" ht="15" hidden="false" customHeight="false" outlineLevel="0" collapsed="false">
      <c r="A5" s="5" t="s">
        <v>171</v>
      </c>
      <c r="B5" s="5" t="n">
        <f aca="false">COUNTIF(QA_Review!$O$2:$O$11,"PASS WITH COACHING")</f>
        <v>3</v>
      </c>
      <c r="C5" s="7" t="n">
        <f aca="false">B5/10</f>
        <v>0.3</v>
      </c>
    </row>
    <row r="6" customFormat="false" ht="15" hidden="false" customHeight="false" outlineLevel="0" collapsed="false">
      <c r="A6" s="5" t="s">
        <v>172</v>
      </c>
      <c r="B6" s="5" t="n">
        <f aca="false">COUNTIF(QA_Review!$O$2:$O$11,"FAIL")</f>
        <v>1</v>
      </c>
      <c r="C6" s="7" t="n">
        <f aca="false">B6/10</f>
        <v>0.1</v>
      </c>
    </row>
    <row r="7" customFormat="false" ht="15" hidden="false" customHeight="false" outlineLevel="0" collapsed="false">
      <c r="A7" s="5" t="s">
        <v>173</v>
      </c>
      <c r="B7" s="5" t="n">
        <f aca="false">COUNTIF(QA_Review!$O$2:$O$11,"FAIL - Critical Error")</f>
        <v>3</v>
      </c>
      <c r="C7" s="7" t="n">
        <f aca="false">B7/10</f>
        <v>0.3</v>
      </c>
    </row>
    <row r="10" customFormat="false" ht="17.35" hidden="false" customHeight="false" outlineLevel="0" collapsed="false">
      <c r="A10" s="2" t="s">
        <v>174</v>
      </c>
    </row>
    <row r="12" customFormat="false" ht="15" hidden="false" customHeight="false" outlineLevel="0" collapsed="false">
      <c r="A12" s="8" t="s">
        <v>175</v>
      </c>
      <c r="B12" s="8" t="s">
        <v>176</v>
      </c>
      <c r="C12" s="8" t="s">
        <v>177</v>
      </c>
    </row>
    <row r="13" customFormat="false" ht="15" hidden="false" customHeight="false" outlineLevel="0" collapsed="false">
      <c r="A13" s="9" t="s">
        <v>24</v>
      </c>
      <c r="B13" s="7" t="n">
        <f aca="false">COUNTIF(QA_Review!$D$2:$D$11,"Pass")/10</f>
        <v>0.7</v>
      </c>
      <c r="C13" s="7" t="n">
        <f aca="false">COUNTIF(QA_Review!$D$2:$D$11,"Fail")/10</f>
        <v>0.2</v>
      </c>
    </row>
    <row r="14" customFormat="false" ht="15" hidden="false" customHeight="false" outlineLevel="0" collapsed="false">
      <c r="A14" s="9" t="s">
        <v>28</v>
      </c>
      <c r="B14" s="7" t="n">
        <f aca="false">COUNTIF(QA_Review!$E$2:$E$11,"Pass")/10</f>
        <v>0.9</v>
      </c>
      <c r="C14" s="7" t="n">
        <f aca="false">COUNTIF(QA_Review!$E$2:$E$11,"Fail")/10</f>
        <v>0</v>
      </c>
    </row>
    <row r="15" customFormat="false" ht="15" hidden="false" customHeight="false" outlineLevel="0" collapsed="false">
      <c r="A15" s="9" t="s">
        <v>31</v>
      </c>
      <c r="B15" s="7" t="n">
        <f aca="false">COUNTIF(QA_Review!$F$2:$F$11,"Pass")/10</f>
        <v>0.8</v>
      </c>
      <c r="C15" s="7" t="n">
        <f aca="false">COUNTIF(QA_Review!$F$2:$F$11,"Fail")/10</f>
        <v>0.1</v>
      </c>
    </row>
    <row r="16" customFormat="false" ht="15" hidden="false" customHeight="false" outlineLevel="0" collapsed="false">
      <c r="A16" s="9" t="s">
        <v>35</v>
      </c>
      <c r="B16" s="7" t="n">
        <f aca="false">COUNTIF(QA_Review!$G$2:$G$11,"Pass")/10</f>
        <v>0.3</v>
      </c>
      <c r="C16" s="7" t="n">
        <f aca="false">COUNTIF(QA_Review!$G$2:$G$11,"Fail")/10</f>
        <v>0.3</v>
      </c>
    </row>
    <row r="17" customFormat="false" ht="15" hidden="false" customHeight="false" outlineLevel="0" collapsed="false">
      <c r="A17" s="9" t="s">
        <v>38</v>
      </c>
      <c r="B17" s="7" t="n">
        <f aca="false">COUNTIF(QA_Review!$H$2:$H$11,"Pass")/10</f>
        <v>0.7</v>
      </c>
      <c r="C17" s="7" t="n">
        <f aca="false">COUNTIF(QA_Review!$H$2:$H$11,"Fail")/10</f>
        <v>0.2</v>
      </c>
    </row>
    <row r="18" customFormat="false" ht="15" hidden="false" customHeight="false" outlineLevel="0" collapsed="false">
      <c r="A18" s="9" t="s">
        <v>41</v>
      </c>
      <c r="B18" s="7" t="n">
        <f aca="false">COUNTIF(QA_Review!$I$2:$I$11,"Pass")/10</f>
        <v>0.8</v>
      </c>
      <c r="C18" s="7" t="n">
        <f aca="false">COUNTIF(QA_Review!$I$2:$I$11,"Fail")/10</f>
        <v>0.2</v>
      </c>
    </row>
    <row r="19" customFormat="false" ht="15" hidden="false" customHeight="false" outlineLevel="0" collapsed="false">
      <c r="A19" s="9" t="s">
        <v>44</v>
      </c>
      <c r="B19" s="7" t="n">
        <f aca="false">COUNTIF(QA_Review!$J$2:$J$11,"Pass")/10</f>
        <v>0.7</v>
      </c>
      <c r="C19" s="7" t="n">
        <f aca="false">COUNTIF(QA_Review!$J$2:$J$11,"Fail")/10</f>
        <v>0.3</v>
      </c>
    </row>
    <row r="20" customFormat="false" ht="23.85" hidden="false" customHeight="false" outlineLevel="0" collapsed="false">
      <c r="A20" s="9" t="s">
        <v>47</v>
      </c>
      <c r="B20" s="7" t="n">
        <f aca="false">COUNTIF(QA_Review!$K$2:$K$11,"Pass")/10</f>
        <v>0.6</v>
      </c>
      <c r="C20" s="7" t="n">
        <f aca="false">COUNTIF(QA_Review!$K$2:$K$11,"Fail")/10</f>
        <v>0.3</v>
      </c>
    </row>
    <row r="23" customFormat="false" ht="17.35" hidden="false" customHeight="false" outlineLevel="0" collapsed="false">
      <c r="A23" s="2" t="s">
        <v>178</v>
      </c>
    </row>
    <row r="25" customFormat="false" ht="15" hidden="false" customHeight="false" outlineLevel="0" collapsed="false">
      <c r="A25" s="8" t="s">
        <v>179</v>
      </c>
      <c r="B25" s="8" t="s">
        <v>180</v>
      </c>
      <c r="C25" s="8" t="s">
        <v>181</v>
      </c>
      <c r="D25" s="8" t="s">
        <v>182</v>
      </c>
    </row>
    <row r="26" customFormat="false" ht="15" hidden="false" customHeight="false" outlineLevel="0" collapsed="false">
      <c r="A26" s="5" t="s">
        <v>97</v>
      </c>
      <c r="B26" s="5" t="n">
        <f aca="false">COUNTIF(QA_Review!$C$2:$C$11,"Casey Nguyen")</f>
        <v>2</v>
      </c>
      <c r="C26" s="7" t="n">
        <f aca="false">AVERAGEIF(QA_Review!$C$2:$C$11,"Casey Nguyen",QA_Review!$M$2:$M$11)</f>
        <v>0.71875</v>
      </c>
      <c r="D26" s="5" t="n">
        <f aca="false">COUNTIFS(QA_Review!$C$2:$C$11,"Casey Nguyen",QA_Review!$N$2:$N$11,"YES")</f>
        <v>1</v>
      </c>
    </row>
    <row r="27" customFormat="false" ht="15" hidden="false" customHeight="false" outlineLevel="0" collapsed="false">
      <c r="A27" s="5" t="s">
        <v>70</v>
      </c>
      <c r="B27" s="5" t="n">
        <f aca="false">COUNTIF(QA_Review!$C$2:$C$11,"Jordan Ellis")</f>
        <v>2</v>
      </c>
      <c r="C27" s="7" t="n">
        <f aca="false">AVERAGEIF(QA_Review!$C$2:$C$11,"Jordan Ellis",QA_Review!$M$2:$M$11)</f>
        <v>0.71875</v>
      </c>
      <c r="D27" s="5" t="n">
        <f aca="false">COUNTIFS(QA_Review!$C$2:$C$11,"Jordan Ellis",QA_Review!$N$2:$N$11,"YES")</f>
        <v>0</v>
      </c>
    </row>
    <row r="28" customFormat="false" ht="15" hidden="false" customHeight="false" outlineLevel="0" collapsed="false">
      <c r="A28" s="5" t="s">
        <v>81</v>
      </c>
      <c r="B28" s="5" t="n">
        <f aca="false">COUNTIF(QA_Review!$C$2:$C$11,"Morgan Hale")</f>
        <v>2</v>
      </c>
      <c r="C28" s="7" t="n">
        <f aca="false">AVERAGEIF(QA_Review!$C$2:$C$11,"Morgan Hale",QA_Review!$M$2:$M$11)</f>
        <v>0.9375</v>
      </c>
      <c r="D28" s="5" t="n">
        <f aca="false">COUNTIFS(QA_Review!$C$2:$C$11,"Morgan Hale",QA_Review!$N$2:$N$11,"YES")</f>
        <v>0</v>
      </c>
    </row>
    <row r="29" customFormat="false" ht="15" hidden="false" customHeight="false" outlineLevel="0" collapsed="false">
      <c r="A29" s="5" t="s">
        <v>111</v>
      </c>
      <c r="B29" s="5" t="n">
        <f aca="false">COUNTIF(QA_Review!$C$2:$C$11,"Riley Chen")</f>
        <v>2</v>
      </c>
      <c r="C29" s="7" t="n">
        <f aca="false">AVERAGEIF(QA_Review!$C$2:$C$11,"Riley Chen",QA_Review!$M$2:$M$11)</f>
        <v>0.65625</v>
      </c>
      <c r="D29" s="5" t="n">
        <f aca="false">COUNTIFS(QA_Review!$C$2:$C$11,"Riley Chen",QA_Review!$N$2:$N$11,"YES")</f>
        <v>1</v>
      </c>
    </row>
    <row r="30" customFormat="false" ht="15" hidden="false" customHeight="false" outlineLevel="0" collapsed="false">
      <c r="A30" s="5" t="s">
        <v>88</v>
      </c>
      <c r="B30" s="5" t="n">
        <f aca="false">COUNTIF(QA_Review!$C$2:$C$11,"Taylor Brooks")</f>
        <v>2</v>
      </c>
      <c r="C30" s="7" t="n">
        <f aca="false">AVERAGEIF(QA_Review!$C$2:$C$11,"Taylor Brooks",QA_Review!$M$2:$M$11)</f>
        <v>0.6875</v>
      </c>
      <c r="D30" s="5" t="n">
        <f aca="false">COUNTIFS(QA_Review!$C$2:$C$11,"Taylor Brooks",QA_Review!$N$2:$N$11,"YES")</f>
        <v>1</v>
      </c>
    </row>
  </sheetData>
  <conditionalFormatting sqref="A4:C7">
    <cfRule type="expression" priority="2" aboveAverage="0" equalAverage="0" bottom="0" percent="0" rank="0" text="" dxfId="11">
      <formula>$A4="FAIL - Critical Error"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2026-09-20T16:47:53Z</dcterms:created>
  <dc:creator>openpyxl</dc:creator>
  <dc:description/>
  <dc:language>en-US</dc:language>
  <cp:lastModifiedBy/>
  <dcterms:modified xsi:type="dcterms:W3CDTF">2026-09-20T16:47:53Z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